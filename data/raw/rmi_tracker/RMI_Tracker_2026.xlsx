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Map" sheetId="1" state="visible" r:id="rId1"/>
    <sheet name="Overrides" sheetId="2" state="visible" r:id="rId2"/>
    <sheet name="Monthly RM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Tracker name</t>
        </is>
      </c>
      <c r="B1" s="1" t="inlineStr">
        <is>
          <t>BOM code</t>
        </is>
      </c>
      <c r="C1" s="1" t="inlineStr">
        <is>
          <t>SAP MATNR</t>
        </is>
      </c>
      <c r="D1" s="1" t="inlineStr">
        <is>
          <t>Index</t>
        </is>
      </c>
      <c r="E1" s="1" t="inlineStr">
        <is>
          <t>Warn %</t>
        </is>
      </c>
      <c r="F1" s="1" t="inlineStr">
        <is>
          <t>Critical %</t>
        </is>
      </c>
    </row>
    <row r="2">
      <c r="A2" t="inlineStr">
        <is>
          <t>Alu A380 ingot</t>
        </is>
      </c>
      <c r="B2" t="inlineStr">
        <is>
          <t>RM-AL-A380</t>
        </is>
      </c>
      <c r="C2" t="n">
        <v>40001001</v>
      </c>
      <c r="D2" t="inlineStr">
        <is>
          <t>ALU</t>
        </is>
      </c>
      <c r="E2" t="n">
        <v>5</v>
      </c>
      <c r="F2" t="n">
        <v>10</v>
      </c>
    </row>
    <row r="3">
      <c r="A3" t="inlineStr">
        <is>
          <t>Alu 6061 sheet</t>
        </is>
      </c>
      <c r="B3" t="inlineStr">
        <is>
          <t>RM-AL-6061</t>
        </is>
      </c>
      <c r="C3" t="n">
        <v>40001002</v>
      </c>
      <c r="D3" t="inlineStr">
        <is>
          <t>ALU</t>
        </is>
      </c>
      <c r="E3" t="n">
        <v>5</v>
      </c>
      <c r="F3" t="n">
        <v>10</v>
      </c>
    </row>
    <row r="4">
      <c r="A4" t="inlineStr">
        <is>
          <t>Steel HRC</t>
        </is>
      </c>
      <c r="B4" t="inlineStr">
        <is>
          <t>RM-ST-HRC</t>
        </is>
      </c>
      <c r="C4" t="n">
        <v>40002001</v>
      </c>
      <c r="D4" t="inlineStr">
        <is>
          <t>HRC</t>
        </is>
      </c>
      <c r="E4" t="n">
        <v>5</v>
      </c>
      <c r="F4" t="n">
        <v>10</v>
      </c>
    </row>
    <row r="5">
      <c r="A5" t="inlineStr">
        <is>
          <t>Steel CRC</t>
        </is>
      </c>
      <c r="B5" t="inlineStr">
        <is>
          <t>RM-ST-CRC</t>
        </is>
      </c>
      <c r="C5" t="n">
        <v>40002002</v>
      </c>
      <c r="D5" t="inlineStr">
        <is>
          <t>HRC</t>
        </is>
      </c>
      <c r="E5" t="n">
        <v>5</v>
      </c>
      <c r="F5" t="n">
        <v>10</v>
      </c>
    </row>
    <row r="6">
      <c r="A6" t="inlineStr">
        <is>
          <t>Copper rod</t>
        </is>
      </c>
      <c r="B6" t="inlineStr">
        <is>
          <t>RM-CU-ROD</t>
        </is>
      </c>
      <c r="C6" t="n">
        <v>40003001</v>
      </c>
      <c r="D6" t="inlineStr">
        <is>
          <t>CU</t>
        </is>
      </c>
      <c r="E6" t="n">
        <v>4</v>
      </c>
      <c r="F6" t="n">
        <v>8</v>
      </c>
    </row>
    <row r="7">
      <c r="A7" t="inlineStr">
        <is>
          <t>Zinc</t>
        </is>
      </c>
      <c r="B7" t="inlineStr">
        <is>
          <t>RM-ZN-SHG</t>
        </is>
      </c>
      <c r="C7" t="n">
        <v>40004001</v>
      </c>
      <c r="D7" t="inlineStr">
        <is>
          <t>ZN</t>
        </is>
      </c>
      <c r="E7" t="n">
        <v>5</v>
      </c>
      <c r="F7" t="n">
        <v>10</v>
      </c>
    </row>
    <row r="8">
      <c r="A8" t="inlineStr">
        <is>
          <t>PA66 GF30</t>
        </is>
      </c>
      <c r="B8" t="inlineStr">
        <is>
          <t>RM-PA66-GF30</t>
        </is>
      </c>
      <c r="C8" t="n">
        <v>40005001</v>
      </c>
      <c r="D8" t="inlineStr">
        <is>
          <t>PA66</t>
        </is>
      </c>
      <c r="E8" t="n">
        <v>6</v>
      </c>
      <c r="F8" t="n">
        <v>12</v>
      </c>
    </row>
    <row r="9">
      <c r="A9" t="inlineStr">
        <is>
          <t>Rubber SMR20</t>
        </is>
      </c>
      <c r="B9" t="inlineStr">
        <is>
          <t>RM-NR-SMR20</t>
        </is>
      </c>
      <c r="C9" t="n">
        <v>40006001</v>
      </c>
      <c r="D9" t="inlineStr">
        <is>
          <t>RUBBER</t>
        </is>
      </c>
      <c r="E9" t="n">
        <v>8</v>
      </c>
      <c r="F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Override price</t>
        </is>
      </c>
      <c r="D1" s="1" t="inlineStr">
        <is>
          <t>Unit</t>
        </is>
      </c>
      <c r="E1" s="1" t="inlineStr">
        <is>
          <t>Reason</t>
        </is>
      </c>
      <c r="F1" s="1" t="inlineStr">
        <is>
          <t>Approved by</t>
        </is>
      </c>
    </row>
    <row r="2">
      <c r="A2" t="inlineStr">
        <is>
          <t>2026-05-12</t>
        </is>
      </c>
      <c r="B2" t="inlineStr">
        <is>
          <t>Alu A380 ingot</t>
        </is>
      </c>
      <c r="C2" t="n">
        <v>2.9</v>
      </c>
      <c r="D2" t="inlineStr">
        <is>
          <t>EUR/kg</t>
        </is>
      </c>
      <c r="E2" t="inlineStr">
        <is>
          <t>Spot buy during AluCast outage</t>
        </is>
      </c>
      <c r="F2" t="inlineStr">
        <is>
          <t>K. Brandt</t>
        </is>
      </c>
    </row>
    <row r="3">
      <c r="A3" t="inlineStr">
        <is>
          <t>2026-08-03</t>
        </is>
      </c>
      <c r="B3" t="inlineStr">
        <is>
          <t>PA66 GF30</t>
        </is>
      </c>
      <c r="C3" t="n">
        <v>4.1</v>
      </c>
      <c r="D3" t="inlineStr">
        <is>
          <t>EUR/kg</t>
        </is>
      </c>
      <c r="E3" t="inlineStr">
        <is>
          <t>Expected Q3 increase (manual)</t>
        </is>
      </c>
      <c r="F3" t="inlineStr"/>
    </row>
    <row r="4">
      <c r="A4" t="inlineStr">
        <is>
          <t>2026-08-20</t>
        </is>
      </c>
      <c r="B4" t="inlineStr">
        <is>
          <t>Copper rod</t>
        </is>
      </c>
      <c r="C4" t="n">
        <v>9.6</v>
      </c>
      <c r="D4" t="inlineStr">
        <is>
          <t>EUR/kg</t>
        </is>
      </c>
      <c r="E4" t="inlineStr">
        <is>
          <t>Use for Q4 costing</t>
        </is>
      </c>
      <c r="F4" t="inlineStr">
        <is>
          <t>K. Brandt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Material</t>
        </is>
      </c>
      <c r="C1" s="1" t="inlineStr">
        <is>
          <t>Index avg</t>
        </is>
      </c>
      <c r="D1" s="1" t="inlineStr">
        <is>
          <t>Base index</t>
        </is>
      </c>
      <c r="E1" s="1" t="inlineStr">
        <is>
          <t>Change %</t>
        </is>
      </c>
      <c r="F1" s="1" t="inlineStr">
        <is>
          <t>Status</t>
        </is>
      </c>
    </row>
    <row r="2">
      <c r="A2" t="inlineStr">
        <is>
          <t>2026-08</t>
        </is>
      </c>
      <c r="B2" t="inlineStr">
        <is>
          <t>Alu A380 ingot</t>
        </is>
      </c>
      <c r="D2" t="n">
        <v>2350</v>
      </c>
      <c r="E2">
        <f>IFERROR((C2-D2)/D2*100,"")</f>
        <v/>
      </c>
      <c r="F2">
        <f>IF(E2="","missing",IF(ABS(E2)&gt;=VLOOKUP(B2,'Material Map'!A:F,6,FALSE),"CRITICAL",IF(ABS(E2)&gt;=VLOOKUP(B2,'Material Map'!A:F,5,FALSE),"WARN","OK")))</f>
        <v/>
      </c>
    </row>
    <row r="3">
      <c r="A3" t="inlineStr">
        <is>
          <t>2026-08</t>
        </is>
      </c>
      <c r="B3" t="inlineStr">
        <is>
          <t>Alu 6061 sheet</t>
        </is>
      </c>
      <c r="D3" t="n">
        <v>2350</v>
      </c>
      <c r="E3">
        <f>IFERROR((C3-D3)/D3*100,"")</f>
        <v/>
      </c>
      <c r="F3">
        <f>IF(E3="","missing",IF(ABS(E3)&gt;=VLOOKUP(B3,'Material Map'!A:F,6,FALSE),"CRITICAL",IF(ABS(E3)&gt;=VLOOKUP(B3,'Material Map'!A:F,5,FALSE),"WARN","OK")))</f>
        <v/>
      </c>
    </row>
    <row r="4">
      <c r="A4" t="inlineStr">
        <is>
          <t>2026-08</t>
        </is>
      </c>
      <c r="B4" t="inlineStr">
        <is>
          <t>Steel HRC</t>
        </is>
      </c>
      <c r="D4" t="n">
        <v>640</v>
      </c>
      <c r="E4">
        <f>IFERROR((C4-D4)/D4*100,"")</f>
        <v/>
      </c>
      <c r="F4">
        <f>IF(E4="","missing",IF(ABS(E4)&gt;=VLOOKUP(B4,'Material Map'!A:F,6,FALSE),"CRITICAL",IF(ABS(E4)&gt;=VLOOKUP(B4,'Material Map'!A:F,5,FALSE),"WARN","OK")))</f>
        <v/>
      </c>
    </row>
    <row r="5">
      <c r="A5" t="inlineStr">
        <is>
          <t>2026-08</t>
        </is>
      </c>
      <c r="B5" t="inlineStr">
        <is>
          <t>Steel CRC</t>
        </is>
      </c>
      <c r="D5" t="n">
        <v>640</v>
      </c>
      <c r="E5">
        <f>IFERROR((C5-D5)/D5*100,"")</f>
        <v/>
      </c>
      <c r="F5">
        <f>IF(E5="","missing",IF(ABS(E5)&gt;=VLOOKUP(B5,'Material Map'!A:F,6,FALSE),"CRITICAL",IF(ABS(E5)&gt;=VLOOKUP(B5,'Material Map'!A:F,5,FALSE),"WARN","OK")))</f>
        <v/>
      </c>
    </row>
    <row r="6">
      <c r="A6" t="inlineStr">
        <is>
          <t>2026-08</t>
        </is>
      </c>
      <c r="B6" t="inlineStr">
        <is>
          <t>Copper rod</t>
        </is>
      </c>
      <c r="D6" t="n">
        <v>9100</v>
      </c>
      <c r="E6">
        <f>IFERROR((C6-D6)/D6*100,"")</f>
        <v/>
      </c>
      <c r="F6">
        <f>IF(E6="","missing",IF(ABS(E6)&gt;=VLOOKUP(B6,'Material Map'!A:F,6,FALSE),"CRITICAL",IF(ABS(E6)&gt;=VLOOKUP(B6,'Material Map'!A:F,5,FALSE),"WARN","OK")))</f>
        <v/>
      </c>
    </row>
    <row r="7">
      <c r="A7" t="inlineStr">
        <is>
          <t>2026-08</t>
        </is>
      </c>
      <c r="B7" t="inlineStr">
        <is>
          <t>Zinc</t>
        </is>
      </c>
      <c r="D7" t="n">
        <v>2650</v>
      </c>
      <c r="E7">
        <f>IFERROR((C7-D7)/D7*100,"")</f>
        <v/>
      </c>
      <c r="F7">
        <f>IF(E7="","missing",IF(ABS(E7)&gt;=VLOOKUP(B7,'Material Map'!A:F,6,FALSE),"CRITICAL",IF(ABS(E7)&gt;=VLOOKUP(B7,'Material Map'!A:F,5,FALSE),"WARN","OK")))</f>
        <v/>
      </c>
    </row>
    <row r="8">
      <c r="A8" t="inlineStr">
        <is>
          <t>2026-08</t>
        </is>
      </c>
      <c r="B8" t="inlineStr">
        <is>
          <t>PA66 GF30</t>
        </is>
      </c>
      <c r="D8" t="n">
        <v>3.1</v>
      </c>
      <c r="E8">
        <f>IFERROR((C8-D8)/D8*100,"")</f>
        <v/>
      </c>
      <c r="F8">
        <f>IF(E8="","missing",IF(ABS(E8)&gt;=VLOOKUP(B8,'Material Map'!A:F,6,FALSE),"CRITICAL",IF(ABS(E8)&gt;=VLOOKUP(B8,'Material Map'!A:F,5,FALSE),"WARN","OK")))</f>
        <v/>
      </c>
    </row>
    <row r="9">
      <c r="A9" t="inlineStr">
        <is>
          <t>2026-08</t>
        </is>
      </c>
      <c r="B9" t="inlineStr">
        <is>
          <t>Rubber SMR20</t>
        </is>
      </c>
      <c r="D9" t="n">
        <v>170</v>
      </c>
      <c r="E9">
        <f>IFERROR((C9-D9)/D9*100,"")</f>
        <v/>
      </c>
      <c r="F9">
        <f>IF(E9="","missing",IF(ABS(E9)&gt;=VLOOKUP(B9,'Material Map'!A:F,6,FALSE),"CRITICAL",IF(ABS(E9)&gt;=VLOOKUP(B9,'Material Map'!A:F,5,FALSE),"WARN","OK")))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